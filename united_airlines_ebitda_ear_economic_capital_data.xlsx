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8_{029330B2-81A9-4481-A26A-0BC2231C85FE}" xr6:coauthVersionLast="47" xr6:coauthVersionMax="47" xr10:uidLastSave="{00000000-0000-0000-0000-000000000000}"/>
  <bookViews>
    <workbookView xWindow="28680" yWindow="-120" windowWidth="29040" windowHeight="15720" tabRatio="500" activeTab="3" xr2:uid="{00000000-000D-0000-FFFF-FFFF00000000}"/>
  </bookViews>
  <sheets>
    <sheet name="Part II - EBITDA Data" sheetId="1" r:id="rId1"/>
    <sheet name="Part I - EaR Calculation" sheetId="2" r:id="rId2"/>
    <sheet name="Part IV - Economic Capital" sheetId="3" r:id="rId3"/>
    <sheet name="Part IV - Sensitivity Analysis" sheetId="4" r:id="rId4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16" i="1" l="1"/>
  <c r="H14" i="1"/>
  <c r="B13" i="3"/>
  <c r="B21" i="2"/>
  <c r="D41" i="1"/>
  <c r="E41" i="1" s="1"/>
  <c r="C41" i="1"/>
  <c r="E40" i="1"/>
  <c r="E39" i="1"/>
  <c r="E38" i="1"/>
  <c r="H11" i="1" s="1"/>
  <c r="B14" i="2" s="1"/>
  <c r="D37" i="1"/>
  <c r="C37" i="1"/>
  <c r="E37" i="1" s="1"/>
  <c r="E36" i="1"/>
  <c r="H10" i="1" s="1"/>
  <c r="B13" i="2" s="1"/>
  <c r="E35" i="1"/>
  <c r="E34" i="1"/>
  <c r="D33" i="1"/>
  <c r="E33" i="1" s="1"/>
  <c r="C33" i="1"/>
  <c r="E32" i="1"/>
  <c r="E31" i="1"/>
  <c r="E30" i="1"/>
  <c r="H9" i="1" s="1"/>
  <c r="B12" i="2" s="1"/>
  <c r="D29" i="1"/>
  <c r="C29" i="1"/>
  <c r="E29" i="1" s="1"/>
  <c r="E28" i="1"/>
  <c r="E27" i="1"/>
  <c r="E26" i="1"/>
  <c r="D25" i="1"/>
  <c r="E25" i="1" s="1"/>
  <c r="C25" i="1"/>
  <c r="E24" i="1"/>
  <c r="E23" i="1"/>
  <c r="E22" i="1"/>
  <c r="H7" i="1" s="1"/>
  <c r="B10" i="2" s="1"/>
  <c r="D21" i="1"/>
  <c r="C21" i="1"/>
  <c r="E21" i="1" s="1"/>
  <c r="E20" i="1"/>
  <c r="E19" i="1"/>
  <c r="E18" i="1"/>
  <c r="D17" i="1"/>
  <c r="C17" i="1"/>
  <c r="E17" i="1" s="1"/>
  <c r="H5" i="1" s="1"/>
  <c r="B8" i="2" s="1"/>
  <c r="E16" i="1"/>
  <c r="E15" i="1"/>
  <c r="E14" i="1"/>
  <c r="D13" i="1"/>
  <c r="C13" i="1"/>
  <c r="E13" i="1" s="1"/>
  <c r="H4" i="1" s="1"/>
  <c r="B7" i="2" s="1"/>
  <c r="E12" i="1"/>
  <c r="E11" i="1"/>
  <c r="E10" i="1"/>
  <c r="D9" i="1"/>
  <c r="E9" i="1" s="1"/>
  <c r="C9" i="1"/>
  <c r="E8" i="1"/>
  <c r="E7" i="1"/>
  <c r="E6" i="1"/>
  <c r="D5" i="1"/>
  <c r="C5" i="1"/>
  <c r="E5" i="1" s="1"/>
  <c r="E4" i="1"/>
  <c r="E3" i="1"/>
  <c r="H2" i="1"/>
  <c r="E2" i="1"/>
  <c r="B5" i="2" l="1"/>
  <c r="H3" i="1"/>
  <c r="B6" i="2" s="1"/>
  <c r="H6" i="1"/>
  <c r="B9" i="2" s="1"/>
  <c r="H8" i="1"/>
  <c r="B11" i="2" s="1"/>
  <c r="H15" i="1" l="1"/>
  <c r="H18" i="1"/>
  <c r="H17" i="1"/>
  <c r="B18" i="2"/>
  <c r="B19" i="2"/>
  <c r="B17" i="2"/>
  <c r="C10" i="4" l="1"/>
  <c r="D10" i="4" s="1"/>
  <c r="C6" i="4"/>
  <c r="D6" i="4" s="1"/>
  <c r="C8" i="4"/>
  <c r="D8" i="4" s="1"/>
  <c r="B6" i="3"/>
  <c r="B16" i="3" s="1"/>
  <c r="B25" i="2"/>
  <c r="C28" i="4"/>
  <c r="D28" i="4" s="1"/>
  <c r="C27" i="4"/>
  <c r="D27" i="4" s="1"/>
  <c r="C26" i="4"/>
  <c r="D26" i="4" s="1"/>
  <c r="C25" i="4"/>
  <c r="D25" i="4" s="1"/>
  <c r="C24" i="4"/>
  <c r="D24" i="4" s="1"/>
  <c r="B19" i="4"/>
  <c r="D19" i="4" s="1"/>
  <c r="B18" i="4"/>
  <c r="D18" i="4" s="1"/>
  <c r="B17" i="4"/>
  <c r="D17" i="4" s="1"/>
  <c r="B16" i="4"/>
  <c r="D16" i="4" s="1"/>
  <c r="B15" i="4"/>
  <c r="D15" i="4" s="1"/>
  <c r="C7" i="4"/>
  <c r="D7" i="4" s="1"/>
  <c r="C9" i="4"/>
  <c r="D9" i="4" s="1"/>
  <c r="C5" i="4"/>
  <c r="D5" i="4" s="1"/>
  <c r="B5" i="3"/>
  <c r="B24" i="2"/>
  <c r="E8" i="4" l="1"/>
  <c r="F8" i="4" s="1"/>
  <c r="E10" i="4"/>
  <c r="F10" i="4" s="1"/>
  <c r="E6" i="4"/>
  <c r="F6" i="4" s="1"/>
  <c r="E9" i="4"/>
  <c r="F9" i="4" s="1"/>
  <c r="E5" i="4"/>
  <c r="F5" i="4" s="1"/>
  <c r="E19" i="4"/>
  <c r="F19" i="4" s="1"/>
  <c r="E18" i="4"/>
  <c r="F18" i="4" s="1"/>
  <c r="E17" i="4"/>
  <c r="F17" i="4" s="1"/>
  <c r="E16" i="4"/>
  <c r="F16" i="4" s="1"/>
  <c r="E15" i="4"/>
  <c r="F15" i="4" s="1"/>
  <c r="E7" i="4"/>
  <c r="F7" i="4" s="1"/>
  <c r="B7" i="3"/>
  <c r="B17" i="3" s="1"/>
  <c r="B26" i="2"/>
  <c r="B9" i="3" s="1"/>
  <c r="F26" i="4"/>
  <c r="E26" i="4"/>
  <c r="F27" i="4"/>
  <c r="E27" i="4"/>
  <c r="G8" i="4"/>
  <c r="G5" i="4"/>
  <c r="F24" i="4"/>
  <c r="E24" i="4"/>
  <c r="F28" i="4"/>
  <c r="E28" i="4"/>
  <c r="G6" i="4"/>
  <c r="F25" i="4"/>
  <c r="E25" i="4"/>
  <c r="B8" i="3"/>
  <c r="B19" i="3" s="1"/>
  <c r="B27" i="2"/>
  <c r="G10" i="4"/>
  <c r="B18" i="3" l="1"/>
  <c r="G7" i="4"/>
  <c r="G9" i="4"/>
</calcChain>
</file>

<file path=xl/sharedStrings.xml><?xml version="1.0" encoding="utf-8"?>
<sst xmlns="http://schemas.openxmlformats.org/spreadsheetml/2006/main" count="125" uniqueCount="100">
  <si>
    <t>Year</t>
  </si>
  <si>
    <t>Quarter</t>
  </si>
  <si>
    <t>Operating Income ($m)</t>
  </si>
  <si>
    <t>D&amp;A ($m)</t>
  </si>
  <si>
    <t>EBITDA ($m)</t>
  </si>
  <si>
    <t>Annual EBITDA ($m)</t>
  </si>
  <si>
    <t>Statistical Summary</t>
  </si>
  <si>
    <t>Count (n)</t>
  </si>
  <si>
    <t>Mean ($m)</t>
  </si>
  <si>
    <t>Std Dev ($m)</t>
  </si>
  <si>
    <t>Min ($m)</t>
  </si>
  <si>
    <t>Max ($m)</t>
  </si>
  <si>
    <t>Part I: Earnings-at-Risk (EaR) Calculation — United Airlines 2026</t>
  </si>
  <si>
    <t>Confidence Level: 95% (One-Tailed) | Time Horizon: 1 Year</t>
  </si>
  <si>
    <t>Step 1: Annual EBITDA Data</t>
  </si>
  <si>
    <t>Source</t>
  </si>
  <si>
    <t>SEC 10-Q, Q1-Q4 2016</t>
  </si>
  <si>
    <t>SEC 10-Q, Q1-Q4 2017</t>
  </si>
  <si>
    <t>SEC 10-Q, Q1-Q4 2018</t>
  </si>
  <si>
    <t>SEC 10-Q, Q1-Q4 2019</t>
  </si>
  <si>
    <t>SEC 10-Q, Q1-Q4 2020</t>
  </si>
  <si>
    <t>SEC 10-Q, Q1-Q4 2021</t>
  </si>
  <si>
    <t>SEC 10-Q, Q1-Q4 2022</t>
  </si>
  <si>
    <t>SEC 10-Q, Q1-Q4 2023</t>
  </si>
  <si>
    <t>SEC 10-Q, Q1-Q4 2024</t>
  </si>
  <si>
    <t>SEC 10-Q, Q1-Q4 2025</t>
  </si>
  <si>
    <t>Step 2: Statistical Inputs</t>
  </si>
  <si>
    <t>Value</t>
  </si>
  <si>
    <t>Notes</t>
  </si>
  <si>
    <t>Number of Observations (n)</t>
  </si>
  <si>
    <t>10 annual data points (2016-2025)</t>
  </si>
  <si>
    <t>Mean Annual EBITDA ($m)</t>
  </si>
  <si>
    <t>Arithmetic mean of annual EBITDA</t>
  </si>
  <si>
    <t>Standard Deviation ($m)</t>
  </si>
  <si>
    <t>Sample std dev (n-1); measures earnings volatility</t>
  </si>
  <si>
    <t>Confidence Level</t>
  </si>
  <si>
    <t>95% one-tailed — standard EaR convention</t>
  </si>
  <si>
    <t>Z-Score (one-tailed, 95%)</t>
  </si>
  <si>
    <t>NORMINV(Confidence Level, 0, 1); auto-calculated z-score</t>
  </si>
  <si>
    <t>Step 3: EaR Results</t>
  </si>
  <si>
    <t>Value ($m)</t>
  </si>
  <si>
    <t>Formula</t>
  </si>
  <si>
    <t>Expected 2026 EBITDA ($m)</t>
  </si>
  <si>
    <t>Mean Annual EBITDA</t>
  </si>
  <si>
    <t>Earnings-at-Risk — EaR ($m)</t>
  </si>
  <si>
    <t>Z-Score x Std Dev</t>
  </si>
  <si>
    <t>Worst-Case 2026 EBITDA ($m)</t>
  </si>
  <si>
    <t>Expected EBITDA - EaR</t>
  </si>
  <si>
    <t>EaR as % of Expected EBITDA</t>
  </si>
  <si>
    <t>EaR / Expected EBITDA</t>
  </si>
  <si>
    <t>Part IV: Economic Capital (EC) Calculation — United Airlines</t>
  </si>
  <si>
    <t>Method: EaR-Based Top-Down Approach | Solvency Standard: AA-rated (99.86%)</t>
  </si>
  <si>
    <t>Step 1: Key Inputs (Linked from Part I - EaR Sheet)</t>
  </si>
  <si>
    <t>Part I EaR Sheet - Step 2</t>
  </si>
  <si>
    <t>Part I EaR Sheet - Step 3</t>
  </si>
  <si>
    <t>EaR at 95% Confidence ($m)</t>
  </si>
  <si>
    <t>Worst-Case EBITDA ($m)</t>
  </si>
  <si>
    <t>Step 2: EC Solvency Assumptions</t>
  </si>
  <si>
    <t>Target Solvency Confidence</t>
  </si>
  <si>
    <t>AA-rated standard (99.86%)</t>
  </si>
  <si>
    <t>Z-Score for EC Level</t>
  </si>
  <si>
    <t>NORMINV(Target Solvency Confidence, 0, 1); auto-calculated</t>
  </si>
  <si>
    <t>Step 3: Economic Capital Results</t>
  </si>
  <si>
    <t>Economic Capital — EC ($m)</t>
  </si>
  <si>
    <t>Z_EC x Std Dev</t>
  </si>
  <si>
    <t>EC as % of Expected EBITDA</t>
  </si>
  <si>
    <t>EC / Expected 2026 EBITDA</t>
  </si>
  <si>
    <t>EC Coverage Ratio (EC / EaR)</t>
  </si>
  <si>
    <t>EC / EaR at 95%</t>
  </si>
  <si>
    <t>Additional Buffer beyond EaR ($m)</t>
  </si>
  <si>
    <t>EC - EaR</t>
  </si>
  <si>
    <t>Part IV: Sensitivity Analysis of EaR and Economic Capital — United Airlines</t>
  </si>
  <si>
    <t>Table 1: EaR Sensitivity to Confidence Level (Std Dev held constant)</t>
  </si>
  <si>
    <t>Z-Score</t>
  </si>
  <si>
    <t>EaR ($m)</t>
  </si>
  <si>
    <t>Expected EBITDA ($m)</t>
  </si>
  <si>
    <t>EaR as % Expected</t>
  </si>
  <si>
    <t>Table 2: EaR Sensitivity to EBITDA Volatility (Z = 1.645, 95% Confidence)</t>
  </si>
  <si>
    <t>Scenario</t>
  </si>
  <si>
    <t>Low Volatility (-30%)</t>
  </si>
  <si>
    <t>Fuel costs stable; demand steady</t>
  </si>
  <si>
    <t>Moderate Low (-15%)</t>
  </si>
  <si>
    <t>Mild improvement in stability</t>
  </si>
  <si>
    <t>Base Case (Actual)</t>
  </si>
  <si>
    <t>Actual historical std dev</t>
  </si>
  <si>
    <t>Moderate High (+15%)</t>
  </si>
  <si>
    <t>Increased fuel/demand uncertainty</t>
  </si>
  <si>
    <t>High Volatility (+30%)</t>
  </si>
  <si>
    <t>Severe macro or oil price shock</t>
  </si>
  <si>
    <t>Table 3: EC Sensitivity to Solvency Confidence Level</t>
  </si>
  <si>
    <t>Solvency Level</t>
  </si>
  <si>
    <t>Economic Capital ($m)</t>
  </si>
  <si>
    <t>EC as % Expected EBITDA</t>
  </si>
  <si>
    <t>EC / EaR Ratio</t>
  </si>
  <si>
    <t>Rating Equivalent</t>
  </si>
  <si>
    <t>BBB / Investment Grade</t>
  </si>
  <si>
    <t>A / Strong Investment Grade</t>
  </si>
  <si>
    <t>AA / Very Strong</t>
  </si>
  <si>
    <t>AA Standard (Base Case)</t>
  </si>
  <si>
    <t>AAA / Highest Grade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</si>
</sst>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;\(#,##0\);\-"/>
    <numFmt numFmtId="165" formatCode="#,##0.0;\(#,##0.0\);\-"/>
    <numFmt numFmtId="166" formatCode="0.0%"/>
    <numFmt numFmtId="167" formatCode="0.000"/>
    <numFmt numFmtId="168" formatCode="0.00\x"/>
  </numFmts>
  <fonts count="3">
    <font>
      <sz val="11"/>
      <color theme="1"/>
      <name val="Aptos Narrow"/>
      <family val="2"/>
      <charset val="134"/>
    </font>
    <font>
      <b/>
      <sz val="11"/>
      <color rgb="FF000000"/>
      <name val="Aptos Narrow"/>
      <charset val="1"/>
    </font>
    <font>
      <sz val="11"/>
      <color rgb="FF000000"/>
      <name val="Aptos Narrow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0" fillId="0" borderId="0" xfId="0" applyAlignment="1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164" fontId="1" fillId="0" borderId="1" xfId="0" applyNumberFormat="1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166" fontId="2" fillId="0" borderId="1" xfId="0" applyNumberFormat="1" applyFont="1" applyBorder="1" applyAlignment="1">
      <alignment horizontal="center" vertical="center"/>
    </xf>
    <xf numFmtId="167" fontId="2" fillId="0" borderId="1" xfId="0" applyNumberFormat="1" applyFont="1" applyBorder="1" applyAlignment="1">
      <alignment horizontal="center" vertical="center"/>
    </xf>
    <xf numFmtId="10" fontId="2" fillId="0" borderId="1" xfId="0" applyNumberFormat="1" applyFont="1" applyBorder="1" applyAlignment="1">
      <alignment horizontal="center" vertical="center"/>
    </xf>
    <xf numFmtId="168" fontId="2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1"/>
  <sheetViews>
    <sheetView zoomScaleNormal="100" workbookViewId="0">
      <selection activeCell="J20" sqref="J20"/>
    </sheetView>
  </sheetViews>
  <sheetFormatPr defaultColWidth="8.54296875" defaultRowHeight="14"/>
  <cols>
    <col min="1" max="2" width="13" style="1" customWidth="1"/>
    <col min="3" max="3" width="20" style="1" customWidth="1"/>
    <col min="4" max="4" width="13" style="1" customWidth="1"/>
    <col min="5" max="5" width="15" style="1" customWidth="1"/>
    <col min="7" max="7" width="13" style="1" customWidth="1"/>
    <col min="8" max="8" width="22" style="1" customWidth="1"/>
  </cols>
  <sheetData>
    <row r="1" spans="1:8" ht="13.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0</v>
      </c>
      <c r="H1" s="2" t="s">
        <v>5</v>
      </c>
    </row>
    <row r="2" spans="1:8" ht="13.5" customHeight="1">
      <c r="A2" s="3">
        <v>2016</v>
      </c>
      <c r="B2" s="3">
        <v>1</v>
      </c>
      <c r="C2" s="4">
        <v>649</v>
      </c>
      <c r="D2" s="4">
        <v>479</v>
      </c>
      <c r="E2" s="4">
        <f t="shared" ref="E2:E41" si="0">($C2+$D2)</f>
        <v>1128</v>
      </c>
      <c r="G2" s="3">
        <v>2016</v>
      </c>
      <c r="H2" s="4">
        <f>SUM(E2:E5)</f>
        <v>6315</v>
      </c>
    </row>
    <row r="3" spans="1:8" ht="13.5" customHeight="1">
      <c r="A3" s="3"/>
      <c r="B3" s="3">
        <v>2</v>
      </c>
      <c r="C3" s="4">
        <v>1060</v>
      </c>
      <c r="D3" s="4">
        <v>491</v>
      </c>
      <c r="E3" s="4">
        <f t="shared" si="0"/>
        <v>1551</v>
      </c>
      <c r="G3" s="3">
        <v>2017</v>
      </c>
      <c r="H3" s="4">
        <f>SUM(E6:E9)</f>
        <v>5647</v>
      </c>
    </row>
    <row r="4" spans="1:8" ht="13.5" customHeight="1">
      <c r="A4" s="3"/>
      <c r="B4" s="3">
        <v>3</v>
      </c>
      <c r="C4" s="4">
        <v>1624</v>
      </c>
      <c r="D4" s="4">
        <v>503</v>
      </c>
      <c r="E4" s="4">
        <f t="shared" si="0"/>
        <v>2127</v>
      </c>
      <c r="G4" s="3">
        <v>2018</v>
      </c>
      <c r="H4" s="4">
        <f>SUM(E10:E13)</f>
        <v>5532</v>
      </c>
    </row>
    <row r="5" spans="1:8" ht="13.5" customHeight="1">
      <c r="A5" s="3"/>
      <c r="B5" s="3">
        <v>4</v>
      </c>
      <c r="C5" s="4">
        <f>4338-SUM(C2:C4)</f>
        <v>1005</v>
      </c>
      <c r="D5" s="4">
        <f>1977-SUM(D2:D4)</f>
        <v>504</v>
      </c>
      <c r="E5" s="4">
        <f t="shared" si="0"/>
        <v>1509</v>
      </c>
      <c r="G5" s="3">
        <v>2019</v>
      </c>
      <c r="H5" s="4">
        <f>SUM(E14:E17)</f>
        <v>6589</v>
      </c>
    </row>
    <row r="6" spans="1:8" ht="13.5" customHeight="1">
      <c r="A6" s="3">
        <v>2017</v>
      </c>
      <c r="B6" s="3">
        <v>1</v>
      </c>
      <c r="C6" s="4">
        <v>278</v>
      </c>
      <c r="D6" s="4">
        <v>518</v>
      </c>
      <c r="E6" s="4">
        <f t="shared" si="0"/>
        <v>796</v>
      </c>
      <c r="G6" s="3">
        <v>2020</v>
      </c>
      <c r="H6" s="4">
        <f>SUM(E18:E21)</f>
        <v>-3871</v>
      </c>
    </row>
    <row r="7" spans="1:8" ht="13.5" customHeight="1">
      <c r="A7" s="3"/>
      <c r="B7" s="3">
        <v>2</v>
      </c>
      <c r="C7" s="4">
        <v>1399</v>
      </c>
      <c r="D7" s="4">
        <v>536</v>
      </c>
      <c r="E7" s="4">
        <f t="shared" si="0"/>
        <v>1935</v>
      </c>
      <c r="G7" s="3">
        <v>2021</v>
      </c>
      <c r="H7" s="4">
        <f>SUM(E22:E25)</f>
        <v>1463</v>
      </c>
    </row>
    <row r="8" spans="1:8" ht="13.5" customHeight="1">
      <c r="A8" s="3"/>
      <c r="B8" s="3">
        <v>3</v>
      </c>
      <c r="C8" s="4">
        <v>1092</v>
      </c>
      <c r="D8" s="4">
        <v>556</v>
      </c>
      <c r="E8" s="4">
        <f t="shared" si="0"/>
        <v>1648</v>
      </c>
      <c r="G8" s="3">
        <v>2022</v>
      </c>
      <c r="H8" s="4">
        <f>SUM(E26:E29)</f>
        <v>4793</v>
      </c>
    </row>
    <row r="9" spans="1:8" ht="13.5" customHeight="1">
      <c r="A9" s="3"/>
      <c r="B9" s="3">
        <v>4</v>
      </c>
      <c r="C9" s="4">
        <f>3498-SUM(C6:C8)</f>
        <v>729</v>
      </c>
      <c r="D9" s="4">
        <f>2149-SUM(D6:D8)</f>
        <v>539</v>
      </c>
      <c r="E9" s="4">
        <f t="shared" si="0"/>
        <v>1268</v>
      </c>
      <c r="G9" s="3">
        <v>2023</v>
      </c>
      <c r="H9" s="4">
        <f>SUM(E30:E33)</f>
        <v>6882</v>
      </c>
    </row>
    <row r="10" spans="1:8" ht="13.5" customHeight="1">
      <c r="A10" s="3">
        <v>2018</v>
      </c>
      <c r="B10" s="3">
        <v>1</v>
      </c>
      <c r="C10" s="4">
        <v>276</v>
      </c>
      <c r="D10" s="4">
        <v>541</v>
      </c>
      <c r="E10" s="4">
        <f t="shared" si="0"/>
        <v>817</v>
      </c>
      <c r="G10" s="3">
        <v>2024</v>
      </c>
      <c r="H10" s="4">
        <f>SUM(E34:E37)</f>
        <v>8024</v>
      </c>
    </row>
    <row r="11" spans="1:8" ht="13.5" customHeight="1">
      <c r="A11" s="3"/>
      <c r="B11" s="3">
        <v>2</v>
      </c>
      <c r="C11" s="4">
        <v>1161</v>
      </c>
      <c r="D11" s="4">
        <v>557</v>
      </c>
      <c r="E11" s="4">
        <f t="shared" si="0"/>
        <v>1718</v>
      </c>
      <c r="G11" s="3">
        <v>2025</v>
      </c>
      <c r="H11" s="4">
        <f>SUM(E38:E41)</f>
        <v>7652</v>
      </c>
    </row>
    <row r="12" spans="1:8" ht="13.5" customHeight="1">
      <c r="A12" s="3"/>
      <c r="B12" s="3">
        <v>3</v>
      </c>
      <c r="C12" s="4">
        <v>1203</v>
      </c>
      <c r="D12" s="4">
        <v>564</v>
      </c>
      <c r="E12" s="4">
        <f t="shared" si="0"/>
        <v>1767</v>
      </c>
    </row>
    <row r="13" spans="1:8" ht="13.5" customHeight="1">
      <c r="A13" s="3"/>
      <c r="B13" s="3">
        <v>4</v>
      </c>
      <c r="C13" s="4">
        <f>3292-SUM(C10:C12)</f>
        <v>652</v>
      </c>
      <c r="D13" s="4">
        <f>2240-SUM(D10:D12)</f>
        <v>578</v>
      </c>
      <c r="E13" s="4">
        <f t="shared" si="0"/>
        <v>1230</v>
      </c>
      <c r="G13" s="2" t="s">
        <v>6</v>
      </c>
      <c r="H13" s="2"/>
    </row>
    <row r="14" spans="1:8" ht="13.5" customHeight="1">
      <c r="A14" s="3">
        <v>2019</v>
      </c>
      <c r="B14" s="3">
        <v>1</v>
      </c>
      <c r="C14" s="4">
        <v>495</v>
      </c>
      <c r="D14" s="4">
        <v>547</v>
      </c>
      <c r="E14" s="4">
        <f t="shared" si="0"/>
        <v>1042</v>
      </c>
      <c r="G14" s="5" t="s">
        <v>7</v>
      </c>
      <c r="H14" s="4">
        <f>COUNT(H2:H11)</f>
        <v>10</v>
      </c>
    </row>
    <row r="15" spans="1:8" ht="13.5" customHeight="1">
      <c r="A15" s="3"/>
      <c r="B15" s="3">
        <v>2</v>
      </c>
      <c r="C15" s="4">
        <v>1472</v>
      </c>
      <c r="D15" s="4">
        <v>560</v>
      </c>
      <c r="E15" s="4">
        <f t="shared" si="0"/>
        <v>2032</v>
      </c>
      <c r="G15" s="5" t="s">
        <v>8</v>
      </c>
      <c r="H15" s="4">
        <f>AVERAGE(H2:H11)</f>
        <v>4902.6000000000004</v>
      </c>
    </row>
    <row r="16" spans="1:8" ht="13.5" customHeight="1">
      <c r="A16" s="3"/>
      <c r="B16" s="3">
        <v>3</v>
      </c>
      <c r="C16" s="4">
        <v>1473</v>
      </c>
      <c r="D16" s="4">
        <v>575</v>
      </c>
      <c r="E16" s="4">
        <f t="shared" si="0"/>
        <v>2048</v>
      </c>
      <c r="G16" s="5" t="s">
        <v>9</v>
      </c>
      <c r="H16" s="4">
        <f>STDEV(H2:H11)</f>
        <v>3587.4530488603996</v>
      </c>
    </row>
    <row r="17" spans="1:8" ht="13.5" customHeight="1">
      <c r="A17" s="3"/>
      <c r="B17" s="3">
        <v>4</v>
      </c>
      <c r="C17" s="4">
        <f>4301-SUM(C14:C16)</f>
        <v>861</v>
      </c>
      <c r="D17" s="4">
        <f>2288-SUM(D14:D16)</f>
        <v>606</v>
      </c>
      <c r="E17" s="4">
        <f t="shared" si="0"/>
        <v>1467</v>
      </c>
      <c r="G17" s="5" t="s">
        <v>10</v>
      </c>
      <c r="H17" s="4">
        <f>MIN(H2:H11)</f>
        <v>-3871</v>
      </c>
    </row>
    <row r="18" spans="1:8" ht="13.5" customHeight="1">
      <c r="A18" s="3">
        <v>2020</v>
      </c>
      <c r="B18" s="3">
        <v>1</v>
      </c>
      <c r="C18" s="4">
        <v>-972</v>
      </c>
      <c r="D18" s="4">
        <v>615</v>
      </c>
      <c r="E18" s="4">
        <f t="shared" si="0"/>
        <v>-357</v>
      </c>
      <c r="G18" s="5" t="s">
        <v>11</v>
      </c>
      <c r="H18" s="4">
        <f>MAX(H2:H11)</f>
        <v>8024</v>
      </c>
    </row>
    <row r="19" spans="1:8" ht="13.5" customHeight="1">
      <c r="A19" s="3"/>
      <c r="B19" s="3">
        <v>2</v>
      </c>
      <c r="C19" s="4">
        <v>-1637</v>
      </c>
      <c r="D19" s="4">
        <v>618</v>
      </c>
      <c r="E19" s="4">
        <f t="shared" si="0"/>
        <v>-1019</v>
      </c>
    </row>
    <row r="20" spans="1:8" ht="13.5" customHeight="1">
      <c r="A20" s="3"/>
      <c r="B20" s="3">
        <v>3</v>
      </c>
      <c r="C20" s="4">
        <v>-1615</v>
      </c>
      <c r="D20" s="4">
        <v>626</v>
      </c>
      <c r="E20" s="4">
        <f t="shared" si="0"/>
        <v>-989</v>
      </c>
    </row>
    <row r="21" spans="1:8" ht="13.5" customHeight="1">
      <c r="A21" s="3"/>
      <c r="B21" s="3">
        <v>4</v>
      </c>
      <c r="C21" s="4">
        <f>-6359-SUM(C18:C20)</f>
        <v>-2135</v>
      </c>
      <c r="D21" s="4">
        <f>2488-SUM(D18:D20)</f>
        <v>629</v>
      </c>
      <c r="E21" s="4">
        <f t="shared" si="0"/>
        <v>-1506</v>
      </c>
    </row>
    <row r="22" spans="1:8" ht="13.5" customHeight="1">
      <c r="A22" s="3">
        <v>2021</v>
      </c>
      <c r="B22" s="3">
        <v>1</v>
      </c>
      <c r="C22" s="4">
        <v>-1381</v>
      </c>
      <c r="D22" s="4">
        <v>623</v>
      </c>
      <c r="E22" s="4">
        <f t="shared" si="0"/>
        <v>-758</v>
      </c>
    </row>
    <row r="23" spans="1:8" ht="13.5" customHeight="1">
      <c r="A23" s="3"/>
      <c r="B23" s="3">
        <v>2</v>
      </c>
      <c r="C23" s="4">
        <v>-270</v>
      </c>
      <c r="D23" s="4">
        <v>620</v>
      </c>
      <c r="E23" s="4">
        <f t="shared" si="0"/>
        <v>350</v>
      </c>
    </row>
    <row r="24" spans="1:8" ht="13.5" customHeight="1">
      <c r="A24" s="3"/>
      <c r="B24" s="3">
        <v>3</v>
      </c>
      <c r="C24" s="4">
        <v>1037</v>
      </c>
      <c r="D24" s="4">
        <v>623</v>
      </c>
      <c r="E24" s="4">
        <f t="shared" si="0"/>
        <v>1660</v>
      </c>
    </row>
    <row r="25" spans="1:8" ht="13.5" customHeight="1">
      <c r="A25" s="3"/>
      <c r="B25" s="3">
        <v>4</v>
      </c>
      <c r="C25" s="4">
        <f>-1022-SUM(C22:C24)</f>
        <v>-408</v>
      </c>
      <c r="D25" s="4">
        <f>2485-SUM(D22:D24)</f>
        <v>619</v>
      </c>
      <c r="E25" s="4">
        <f t="shared" si="0"/>
        <v>211</v>
      </c>
    </row>
    <row r="26" spans="1:8" ht="13.5" customHeight="1">
      <c r="A26" s="3">
        <v>2022</v>
      </c>
      <c r="B26" s="3">
        <v>1</v>
      </c>
      <c r="C26" s="4">
        <v>-1376</v>
      </c>
      <c r="D26" s="4">
        <v>611</v>
      </c>
      <c r="E26" s="4">
        <f t="shared" si="0"/>
        <v>-765</v>
      </c>
    </row>
    <row r="27" spans="1:8" ht="13.5" customHeight="1">
      <c r="A27" s="3"/>
      <c r="B27" s="3">
        <v>2</v>
      </c>
      <c r="C27" s="4">
        <v>878</v>
      </c>
      <c r="D27" s="4">
        <v>611</v>
      </c>
      <c r="E27" s="4">
        <f t="shared" si="0"/>
        <v>1489</v>
      </c>
    </row>
    <row r="28" spans="1:8" ht="13.5" customHeight="1">
      <c r="A28" s="3"/>
      <c r="B28" s="3">
        <v>3</v>
      </c>
      <c r="C28" s="4">
        <v>1458</v>
      </c>
      <c r="D28" s="4">
        <v>610</v>
      </c>
      <c r="E28" s="4">
        <f t="shared" si="0"/>
        <v>2068</v>
      </c>
    </row>
    <row r="29" spans="1:8" ht="13.5" customHeight="1">
      <c r="A29" s="3"/>
      <c r="B29" s="3">
        <v>4</v>
      </c>
      <c r="C29" s="4">
        <f>2337-SUM(C26:C28)</f>
        <v>1377</v>
      </c>
      <c r="D29" s="4">
        <f>2456-SUM(D26:D28)</f>
        <v>624</v>
      </c>
      <c r="E29" s="4">
        <f t="shared" si="0"/>
        <v>2001</v>
      </c>
    </row>
    <row r="30" spans="1:8" ht="13.5" customHeight="1">
      <c r="A30" s="3">
        <v>2023</v>
      </c>
      <c r="B30" s="3">
        <v>1</v>
      </c>
      <c r="C30" s="4">
        <v>-43</v>
      </c>
      <c r="D30" s="4">
        <v>655</v>
      </c>
      <c r="E30" s="4">
        <f t="shared" si="0"/>
        <v>612</v>
      </c>
    </row>
    <row r="31" spans="1:8" ht="13.5" customHeight="1">
      <c r="A31" s="3"/>
      <c r="B31" s="3">
        <v>2</v>
      </c>
      <c r="C31" s="4">
        <v>1517</v>
      </c>
      <c r="D31" s="4">
        <v>669</v>
      </c>
      <c r="E31" s="4">
        <f t="shared" si="0"/>
        <v>2186</v>
      </c>
    </row>
    <row r="32" spans="1:8" ht="13.5" customHeight="1">
      <c r="A32" s="3"/>
      <c r="B32" s="3">
        <v>3</v>
      </c>
      <c r="C32" s="4">
        <v>1739</v>
      </c>
      <c r="D32" s="4">
        <v>663</v>
      </c>
      <c r="E32" s="4">
        <f t="shared" si="0"/>
        <v>2402</v>
      </c>
    </row>
    <row r="33" spans="1:5" ht="13.5" customHeight="1">
      <c r="A33" s="3"/>
      <c r="B33" s="3">
        <v>4</v>
      </c>
      <c r="C33" s="4">
        <f>4211-SUM(C30:C32)</f>
        <v>998</v>
      </c>
      <c r="D33" s="4">
        <f>2671-SUM(D30:D32)</f>
        <v>684</v>
      </c>
      <c r="E33" s="4">
        <f t="shared" si="0"/>
        <v>1682</v>
      </c>
    </row>
    <row r="34" spans="1:5" ht="13.5" customHeight="1">
      <c r="A34" s="3">
        <v>2024</v>
      </c>
      <c r="B34" s="3">
        <v>1</v>
      </c>
      <c r="C34" s="4">
        <v>99</v>
      </c>
      <c r="D34" s="4">
        <v>708</v>
      </c>
      <c r="E34" s="4">
        <f t="shared" si="0"/>
        <v>807</v>
      </c>
    </row>
    <row r="35" spans="1:5" ht="13.5" customHeight="1">
      <c r="A35" s="3"/>
      <c r="B35" s="3">
        <v>2</v>
      </c>
      <c r="C35" s="4">
        <v>1929</v>
      </c>
      <c r="D35" s="4">
        <v>719</v>
      </c>
      <c r="E35" s="4">
        <f t="shared" si="0"/>
        <v>2648</v>
      </c>
    </row>
    <row r="36" spans="1:5" ht="13.5" customHeight="1">
      <c r="A36" s="3"/>
      <c r="B36" s="3">
        <v>3</v>
      </c>
      <c r="C36" s="4">
        <v>1565</v>
      </c>
      <c r="D36" s="4">
        <v>742</v>
      </c>
      <c r="E36" s="4">
        <f t="shared" si="0"/>
        <v>2307</v>
      </c>
    </row>
    <row r="37" spans="1:5" ht="13.5" customHeight="1">
      <c r="A37" s="3"/>
      <c r="B37" s="3">
        <v>4</v>
      </c>
      <c r="C37" s="4">
        <f>5096-SUM(C34:C36)</f>
        <v>1503</v>
      </c>
      <c r="D37" s="4">
        <f>2928-SUM(D34:D36)</f>
        <v>759</v>
      </c>
      <c r="E37" s="4">
        <f t="shared" si="0"/>
        <v>2262</v>
      </c>
    </row>
    <row r="38" spans="1:5" ht="13.5" customHeight="1">
      <c r="A38" s="3">
        <v>2025</v>
      </c>
      <c r="B38" s="3">
        <v>1</v>
      </c>
      <c r="C38" s="4">
        <v>607</v>
      </c>
      <c r="D38" s="4">
        <v>727</v>
      </c>
      <c r="E38" s="4">
        <f t="shared" si="0"/>
        <v>1334</v>
      </c>
    </row>
    <row r="39" spans="1:5" ht="13.5" customHeight="1">
      <c r="A39" s="3"/>
      <c r="B39" s="3">
        <v>2</v>
      </c>
      <c r="C39" s="4">
        <v>1325</v>
      </c>
      <c r="D39" s="4">
        <v>733</v>
      </c>
      <c r="E39" s="4">
        <f t="shared" si="0"/>
        <v>2058</v>
      </c>
    </row>
    <row r="40" spans="1:5" ht="13.5" customHeight="1">
      <c r="A40" s="3"/>
      <c r="B40" s="3">
        <v>3</v>
      </c>
      <c r="C40" s="4">
        <v>1395</v>
      </c>
      <c r="D40" s="4">
        <v>730</v>
      </c>
      <c r="E40" s="4">
        <f t="shared" si="0"/>
        <v>2125</v>
      </c>
    </row>
    <row r="41" spans="1:5" ht="13.5" customHeight="1">
      <c r="A41" s="3"/>
      <c r="B41" s="3">
        <v>4</v>
      </c>
      <c r="C41" s="4">
        <f>4713-SUM(C38:C40)</f>
        <v>1386</v>
      </c>
      <c r="D41" s="4">
        <f>2939-SUM(D38:D40)</f>
        <v>749</v>
      </c>
      <c r="E41" s="4">
        <f t="shared" si="0"/>
        <v>2135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7"/>
  <sheetViews>
    <sheetView zoomScaleNormal="100" workbookViewId="0"/>
  </sheetViews>
  <sheetFormatPr defaultColWidth="8.54296875" defaultRowHeight="14"/>
  <cols>
    <col min="1" max="1" width="38" style="1" customWidth="1"/>
    <col min="2" max="2" width="22" style="1" customWidth="1"/>
    <col min="3" max="3" width="35" style="1" customWidth="1"/>
  </cols>
  <sheetData>
    <row r="1" spans="1:3" ht="15" customHeight="1">
      <c r="A1" s="6" t="s">
        <v>12</v>
      </c>
    </row>
    <row r="2" spans="1:3" ht="15" customHeight="1">
      <c r="A2" s="5" t="s">
        <v>13</v>
      </c>
    </row>
    <row r="4" spans="1:3" ht="15" customHeight="1">
      <c r="A4" s="6" t="s">
        <v>14</v>
      </c>
      <c r="B4" s="7" t="s">
        <v>5</v>
      </c>
      <c r="C4" s="6" t="s">
        <v>15</v>
      </c>
    </row>
    <row r="5" spans="1:3" ht="15" customHeight="1">
      <c r="A5" s="3">
        <v>2016</v>
      </c>
      <c r="B5" s="4">
        <f>'Part II - EBITDA Data'!H2</f>
        <v>6315</v>
      </c>
      <c r="C5" s="5" t="s">
        <v>16</v>
      </c>
    </row>
    <row r="6" spans="1:3" ht="15" customHeight="1">
      <c r="A6" s="3">
        <v>2017</v>
      </c>
      <c r="B6" s="4">
        <f>'Part II - EBITDA Data'!H3</f>
        <v>5647</v>
      </c>
      <c r="C6" s="5" t="s">
        <v>17</v>
      </c>
    </row>
    <row r="7" spans="1:3" ht="15" customHeight="1">
      <c r="A7" s="3">
        <v>2018</v>
      </c>
      <c r="B7" s="4">
        <f>'Part II - EBITDA Data'!H4</f>
        <v>5532</v>
      </c>
      <c r="C7" s="5" t="s">
        <v>18</v>
      </c>
    </row>
    <row r="8" spans="1:3" ht="15" customHeight="1">
      <c r="A8" s="3">
        <v>2019</v>
      </c>
      <c r="B8" s="4">
        <f>'Part II - EBITDA Data'!H5</f>
        <v>6589</v>
      </c>
      <c r="C8" s="5" t="s">
        <v>19</v>
      </c>
    </row>
    <row r="9" spans="1:3" ht="15" customHeight="1">
      <c r="A9" s="3">
        <v>2020</v>
      </c>
      <c r="B9" s="4">
        <f>'Part II - EBITDA Data'!H6</f>
        <v>-3871</v>
      </c>
      <c r="C9" s="5" t="s">
        <v>20</v>
      </c>
    </row>
    <row r="10" spans="1:3" ht="15" customHeight="1">
      <c r="A10" s="3">
        <v>2021</v>
      </c>
      <c r="B10" s="4">
        <f>'Part II - EBITDA Data'!H7</f>
        <v>1463</v>
      </c>
      <c r="C10" s="5" t="s">
        <v>21</v>
      </c>
    </row>
    <row r="11" spans="1:3" ht="15" customHeight="1">
      <c r="A11" s="3">
        <v>2022</v>
      </c>
      <c r="B11" s="4">
        <f>'Part II - EBITDA Data'!H8</f>
        <v>4793</v>
      </c>
      <c r="C11" s="5" t="s">
        <v>22</v>
      </c>
    </row>
    <row r="12" spans="1:3" ht="15" customHeight="1">
      <c r="A12" s="3">
        <v>2023</v>
      </c>
      <c r="B12" s="4">
        <f>'Part II - EBITDA Data'!H9</f>
        <v>6882</v>
      </c>
      <c r="C12" s="5" t="s">
        <v>23</v>
      </c>
    </row>
    <row r="13" spans="1:3" ht="15" customHeight="1">
      <c r="A13" s="3">
        <v>2024</v>
      </c>
      <c r="B13" s="4">
        <f>'Part II - EBITDA Data'!H10</f>
        <v>8024</v>
      </c>
      <c r="C13" s="5" t="s">
        <v>24</v>
      </c>
    </row>
    <row r="14" spans="1:3" ht="15" customHeight="1">
      <c r="A14" s="3">
        <v>2025</v>
      </c>
      <c r="B14" s="4">
        <f>'Part II - EBITDA Data'!H11</f>
        <v>7652</v>
      </c>
      <c r="C14" s="5" t="s">
        <v>25</v>
      </c>
    </row>
    <row r="16" spans="1:3" ht="15" customHeight="1">
      <c r="A16" s="6" t="s">
        <v>26</v>
      </c>
      <c r="B16" s="2" t="s">
        <v>27</v>
      </c>
      <c r="C16" s="6" t="s">
        <v>28</v>
      </c>
    </row>
    <row r="17" spans="1:3" ht="15" customHeight="1">
      <c r="A17" s="5" t="s">
        <v>29</v>
      </c>
      <c r="B17" s="8">
        <f>COUNT(B5:B14)</f>
        <v>10</v>
      </c>
      <c r="C17" s="5" t="s">
        <v>30</v>
      </c>
    </row>
    <row r="18" spans="1:3" ht="15" customHeight="1">
      <c r="A18" s="5" t="s">
        <v>31</v>
      </c>
      <c r="B18" s="8">
        <f>AVERAGE(B5:B14)</f>
        <v>4902.6000000000004</v>
      </c>
      <c r="C18" s="5" t="s">
        <v>32</v>
      </c>
    </row>
    <row r="19" spans="1:3" ht="15" customHeight="1">
      <c r="A19" s="5" t="s">
        <v>33</v>
      </c>
      <c r="B19" s="8">
        <f>STDEV(B5:B14)</f>
        <v>3587.4530488603996</v>
      </c>
      <c r="C19" s="5" t="s">
        <v>34</v>
      </c>
    </row>
    <row r="20" spans="1:3" ht="15" customHeight="1">
      <c r="A20" s="5" t="s">
        <v>35</v>
      </c>
      <c r="B20" s="9">
        <v>0.95</v>
      </c>
      <c r="C20" s="5" t="s">
        <v>36</v>
      </c>
    </row>
    <row r="21" spans="1:3" ht="15" customHeight="1">
      <c r="A21" s="5" t="s">
        <v>37</v>
      </c>
      <c r="B21" s="10">
        <f>NORMINV(B20,0,1)</f>
        <v>1.6448536269514715</v>
      </c>
      <c r="C21" s="5" t="s">
        <v>38</v>
      </c>
    </row>
    <row r="23" spans="1:3" ht="15" customHeight="1">
      <c r="A23" s="6" t="s">
        <v>39</v>
      </c>
      <c r="B23" s="2" t="s">
        <v>40</v>
      </c>
      <c r="C23" s="6" t="s">
        <v>41</v>
      </c>
    </row>
    <row r="24" spans="1:3" ht="15" customHeight="1">
      <c r="A24" s="5" t="s">
        <v>42</v>
      </c>
      <c r="B24" s="4">
        <f>B18</f>
        <v>4902.6000000000004</v>
      </c>
      <c r="C24" s="5" t="s">
        <v>43</v>
      </c>
    </row>
    <row r="25" spans="1:3" ht="15" customHeight="1">
      <c r="A25" s="6" t="s">
        <v>44</v>
      </c>
      <c r="B25" s="7">
        <f>B21*B19</f>
        <v>5900.8351589361428</v>
      </c>
      <c r="C25" s="5" t="s">
        <v>45</v>
      </c>
    </row>
    <row r="26" spans="1:3" ht="15" customHeight="1">
      <c r="A26" s="6" t="s">
        <v>46</v>
      </c>
      <c r="B26" s="7">
        <f>B24-B25</f>
        <v>-998.2351589361424</v>
      </c>
      <c r="C26" s="5" t="s">
        <v>47</v>
      </c>
    </row>
    <row r="27" spans="1:3" ht="15" customHeight="1">
      <c r="A27" s="5" t="s">
        <v>48</v>
      </c>
      <c r="B27" s="9">
        <f>IFERROR(B25/B24,0)</f>
        <v>1.2036134212328442</v>
      </c>
      <c r="C27" s="5" t="s">
        <v>49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9"/>
  <sheetViews>
    <sheetView zoomScaleNormal="100" workbookViewId="0"/>
  </sheetViews>
  <sheetFormatPr defaultColWidth="8.54296875" defaultRowHeight="14"/>
  <cols>
    <col min="1" max="1" width="40" style="1" customWidth="1"/>
    <col min="2" max="2" width="22" style="1" customWidth="1"/>
    <col min="3" max="3" width="38" style="1" customWidth="1"/>
  </cols>
  <sheetData>
    <row r="1" spans="1:3" ht="15" customHeight="1">
      <c r="A1" s="6" t="s">
        <v>50</v>
      </c>
    </row>
    <row r="2" spans="1:3" ht="15" customHeight="1">
      <c r="A2" s="5" t="s">
        <v>51</v>
      </c>
    </row>
    <row r="4" spans="1:3" ht="15" customHeight="1">
      <c r="A4" s="6" t="s">
        <v>52</v>
      </c>
      <c r="B4" s="2" t="s">
        <v>40</v>
      </c>
      <c r="C4" s="6" t="s">
        <v>15</v>
      </c>
    </row>
    <row r="5" spans="1:3" ht="15" customHeight="1">
      <c r="A5" s="5" t="s">
        <v>31</v>
      </c>
      <c r="B5" s="4">
        <f>'Part I - EaR Calculation'!B18</f>
        <v>4902.6000000000004</v>
      </c>
      <c r="C5" s="5" t="s">
        <v>53</v>
      </c>
    </row>
    <row r="6" spans="1:3" ht="15" customHeight="1">
      <c r="A6" s="5" t="s">
        <v>33</v>
      </c>
      <c r="B6" s="4">
        <f>'Part I - EaR Calculation'!B19</f>
        <v>3587.4530488603996</v>
      </c>
      <c r="C6" s="5" t="s">
        <v>53</v>
      </c>
    </row>
    <row r="7" spans="1:3" ht="15" customHeight="1">
      <c r="A7" s="5" t="s">
        <v>42</v>
      </c>
      <c r="B7" s="4">
        <f>'Part I - EaR Calculation'!B24</f>
        <v>4902.6000000000004</v>
      </c>
      <c r="C7" s="5" t="s">
        <v>54</v>
      </c>
    </row>
    <row r="8" spans="1:3" ht="15" customHeight="1">
      <c r="A8" s="5" t="s">
        <v>55</v>
      </c>
      <c r="B8" s="4">
        <f>'Part I - EaR Calculation'!B25</f>
        <v>5900.8351589361428</v>
      </c>
      <c r="C8" s="5" t="s">
        <v>54</v>
      </c>
    </row>
    <row r="9" spans="1:3" ht="15" customHeight="1">
      <c r="A9" s="5" t="s">
        <v>56</v>
      </c>
      <c r="B9" s="4">
        <f>'Part I - EaR Calculation'!B26</f>
        <v>-998.2351589361424</v>
      </c>
      <c r="C9" s="5" t="s">
        <v>54</v>
      </c>
    </row>
    <row r="11" spans="1:3" ht="15" customHeight="1">
      <c r="A11" s="6" t="s">
        <v>57</v>
      </c>
      <c r="B11" s="2" t="s">
        <v>27</v>
      </c>
      <c r="C11" s="6" t="s">
        <v>28</v>
      </c>
    </row>
    <row r="12" spans="1:3" ht="15" customHeight="1">
      <c r="A12" s="5" t="s">
        <v>58</v>
      </c>
      <c r="B12" s="11">
        <v>0.99860000000000004</v>
      </c>
      <c r="C12" s="5" t="s">
        <v>59</v>
      </c>
    </row>
    <row r="13" spans="1:3" ht="15" customHeight="1">
      <c r="A13" s="5" t="s">
        <v>60</v>
      </c>
      <c r="B13" s="10">
        <f>NORMINV(B12,0,1)</f>
        <v>2.9888822673157991</v>
      </c>
      <c r="C13" s="5" t="s">
        <v>61</v>
      </c>
    </row>
    <row r="15" spans="1:3" ht="15" customHeight="1">
      <c r="A15" s="6" t="s">
        <v>62</v>
      </c>
      <c r="B15" s="2" t="s">
        <v>40</v>
      </c>
      <c r="C15" s="6" t="s">
        <v>41</v>
      </c>
    </row>
    <row r="16" spans="1:3" ht="15" customHeight="1">
      <c r="A16" s="6" t="s">
        <v>63</v>
      </c>
      <c r="B16" s="7">
        <f>B13*B6</f>
        <v>10722.474802566847</v>
      </c>
      <c r="C16" s="5" t="s">
        <v>64</v>
      </c>
    </row>
    <row r="17" spans="1:3" ht="15" customHeight="1">
      <c r="A17" s="5" t="s">
        <v>65</v>
      </c>
      <c r="B17" s="9">
        <f>IFERROR(B16/B7,0)</f>
        <v>2.1870996619277214</v>
      </c>
      <c r="C17" s="5" t="s">
        <v>66</v>
      </c>
    </row>
    <row r="18" spans="1:3" ht="15" customHeight="1">
      <c r="A18" s="5" t="s">
        <v>67</v>
      </c>
      <c r="B18" s="12">
        <f>IFERROR(B16/B8,0)</f>
        <v>1.8171113941945793</v>
      </c>
      <c r="C18" s="5" t="s">
        <v>68</v>
      </c>
    </row>
    <row r="19" spans="1:3" ht="15" customHeight="1">
      <c r="A19" s="5" t="s">
        <v>69</v>
      </c>
      <c r="B19" s="4">
        <f>B16-B8</f>
        <v>4821.6396436307041</v>
      </c>
      <c r="C19" s="5" t="s">
        <v>70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8"/>
  <sheetViews>
    <sheetView tabSelected="1" zoomScaleNormal="100" workbookViewId="0"/>
  </sheetViews>
  <sheetFormatPr defaultColWidth="8.54296875" defaultRowHeight="14"/>
  <cols>
    <col min="1" max="1" width="32" style="1" customWidth="1"/>
    <col min="2" max="4" width="18" style="1" customWidth="1"/>
    <col min="5" max="5" width="20" style="1" customWidth="1"/>
    <col min="6" max="7" width="22" style="1" customWidth="1"/>
  </cols>
  <sheetData>
    <row r="1" spans="1:7" ht="15" customHeight="1">
      <c r="A1" s="6" t="s">
        <v>71</v>
      </c>
    </row>
    <row r="3" spans="1:7" ht="15" customHeight="1">
      <c r="A3" s="6" t="s">
        <v>72</v>
      </c>
    </row>
    <row r="4" spans="1:7" ht="15" customHeight="1">
      <c r="A4" s="2" t="s">
        <v>35</v>
      </c>
      <c r="B4" s="2" t="s">
        <v>73</v>
      </c>
      <c r="C4" s="2" t="s">
        <v>9</v>
      </c>
      <c r="D4" s="2" t="s">
        <v>74</v>
      </c>
      <c r="E4" s="2" t="s">
        <v>75</v>
      </c>
      <c r="F4" s="2" t="s">
        <v>56</v>
      </c>
      <c r="G4" s="2" t="s">
        <v>76</v>
      </c>
    </row>
    <row r="5" spans="1:7" ht="15" customHeight="1">
      <c r="A5" s="9">
        <v>0.9</v>
      </c>
      <c r="B5" s="10">
        <v>1.282</v>
      </c>
      <c r="C5" s="4">
        <f>'Part I - EaR Calculation'!B19</f>
        <v>3587.4530488603996</v>
      </c>
      <c r="D5" s="4">
        <f t="shared" ref="D5:D10" si="0">B5*C5</f>
        <v>4599.1148086390322</v>
      </c>
      <c r="E5" s="4">
        <f>'Part I - EaR Calculation'!B24</f>
        <v>4902.6000000000004</v>
      </c>
      <c r="F5" s="4">
        <f t="shared" ref="F5:F10" si="1">E5-D5</f>
        <v>303.4851913609682</v>
      </c>
      <c r="G5" s="9">
        <f t="shared" ref="G5:G10" si="2">IFERROR(D5/E5,0)</f>
        <v>0.93809709310142209</v>
      </c>
    </row>
    <row r="6" spans="1:7" ht="15" customHeight="1">
      <c r="A6" s="9">
        <v>0.92500000000000004</v>
      </c>
      <c r="B6" s="10">
        <v>1.44</v>
      </c>
      <c r="C6" s="4">
        <f>'Part I - EaR Calculation'!B19</f>
        <v>3587.4530488603996</v>
      </c>
      <c r="D6" s="4">
        <f t="shared" si="0"/>
        <v>5165.9323903589748</v>
      </c>
      <c r="E6" s="4">
        <f>'Part I - EaR Calculation'!B24</f>
        <v>4902.6000000000004</v>
      </c>
      <c r="F6" s="4">
        <f t="shared" si="1"/>
        <v>-263.33239035897441</v>
      </c>
      <c r="G6" s="9">
        <f t="shared" si="2"/>
        <v>1.0537128034836565</v>
      </c>
    </row>
    <row r="7" spans="1:7" ht="15" customHeight="1">
      <c r="A7" s="9">
        <v>0.95</v>
      </c>
      <c r="B7" s="10">
        <v>1.645</v>
      </c>
      <c r="C7" s="4">
        <f>'Part I - EaR Calculation'!B19</f>
        <v>3587.4530488603996</v>
      </c>
      <c r="D7" s="4">
        <f t="shared" si="0"/>
        <v>5901.3602653753578</v>
      </c>
      <c r="E7" s="4">
        <f>'Part I - EaR Calculation'!B24</f>
        <v>4902.6000000000004</v>
      </c>
      <c r="F7" s="4">
        <f t="shared" si="1"/>
        <v>-998.76026537535745</v>
      </c>
      <c r="G7" s="9">
        <f t="shared" si="2"/>
        <v>1.203720528979594</v>
      </c>
    </row>
    <row r="8" spans="1:7" ht="15" customHeight="1">
      <c r="A8" s="9">
        <v>0.97499999999999998</v>
      </c>
      <c r="B8" s="10">
        <v>1.96</v>
      </c>
      <c r="C8" s="4">
        <f>'Part I - EaR Calculation'!B19</f>
        <v>3587.4530488603996</v>
      </c>
      <c r="D8" s="4">
        <f t="shared" si="0"/>
        <v>7031.4079757663831</v>
      </c>
      <c r="E8" s="4">
        <f>'Part I - EaR Calculation'!B24</f>
        <v>4902.6000000000004</v>
      </c>
      <c r="F8" s="4">
        <f t="shared" si="1"/>
        <v>-2128.8079757663827</v>
      </c>
      <c r="G8" s="9">
        <f t="shared" si="2"/>
        <v>1.4342202047416437</v>
      </c>
    </row>
    <row r="9" spans="1:7" ht="15" customHeight="1">
      <c r="A9" s="9">
        <v>0.99</v>
      </c>
      <c r="B9" s="10">
        <v>2.3260000000000001</v>
      </c>
      <c r="C9" s="4">
        <f>'Part I - EaR Calculation'!B19</f>
        <v>3587.4530488603996</v>
      </c>
      <c r="D9" s="4">
        <f t="shared" si="0"/>
        <v>8344.4157916492895</v>
      </c>
      <c r="E9" s="4">
        <f>'Part I - EaR Calculation'!B24</f>
        <v>4902.6000000000004</v>
      </c>
      <c r="F9" s="4">
        <f t="shared" si="1"/>
        <v>-3441.8157916492892</v>
      </c>
      <c r="G9" s="9">
        <f t="shared" si="2"/>
        <v>1.7020388756270732</v>
      </c>
    </row>
    <row r="10" spans="1:7" ht="15" customHeight="1">
      <c r="A10" s="9">
        <v>0.999</v>
      </c>
      <c r="B10" s="10">
        <v>3.09</v>
      </c>
      <c r="C10" s="4">
        <f>'Part I - EaR Calculation'!B19</f>
        <v>3587.4530488603996</v>
      </c>
      <c r="D10" s="4">
        <f t="shared" si="0"/>
        <v>11085.229920978634</v>
      </c>
      <c r="E10" s="4">
        <f>'Part I - EaR Calculation'!B24</f>
        <v>4902.6000000000004</v>
      </c>
      <c r="F10" s="4">
        <f t="shared" si="1"/>
        <v>-6182.6299209786339</v>
      </c>
      <c r="G10" s="9">
        <f t="shared" si="2"/>
        <v>2.2610920574753464</v>
      </c>
    </row>
    <row r="13" spans="1:7" ht="15" customHeight="1">
      <c r="A13" s="6" t="s">
        <v>77</v>
      </c>
    </row>
    <row r="14" spans="1:7" ht="15" customHeight="1">
      <c r="A14" s="2" t="s">
        <v>78</v>
      </c>
      <c r="B14" s="2" t="s">
        <v>9</v>
      </c>
      <c r="C14" s="2" t="s">
        <v>73</v>
      </c>
      <c r="D14" s="2" t="s">
        <v>74</v>
      </c>
      <c r="E14" s="2" t="s">
        <v>75</v>
      </c>
      <c r="F14" s="2" t="s">
        <v>56</v>
      </c>
      <c r="G14" s="2" t="s">
        <v>28</v>
      </c>
    </row>
    <row r="15" spans="1:7" ht="15" customHeight="1">
      <c r="A15" s="5" t="s">
        <v>79</v>
      </c>
      <c r="B15" s="4">
        <f>'Part I - EaR Calculation'!B19*0.7</f>
        <v>2511.2171342022793</v>
      </c>
      <c r="C15" s="10">
        <v>1.645</v>
      </c>
      <c r="D15" s="4">
        <f>B15*C15</f>
        <v>4130.9521857627497</v>
      </c>
      <c r="E15" s="4">
        <f>'Part I - EaR Calculation'!B24</f>
        <v>4902.6000000000004</v>
      </c>
      <c r="F15" s="4">
        <f>E15-D15</f>
        <v>771.64781423725071</v>
      </c>
      <c r="G15" s="5" t="s">
        <v>80</v>
      </c>
    </row>
    <row r="16" spans="1:7" ht="15" customHeight="1">
      <c r="A16" s="5" t="s">
        <v>81</v>
      </c>
      <c r="B16" s="4">
        <f>'Part I - EaR Calculation'!B19*0.85</f>
        <v>3049.3350915313395</v>
      </c>
      <c r="C16" s="10">
        <v>1.645</v>
      </c>
      <c r="D16" s="4">
        <f>B16*C16</f>
        <v>5016.1562255690533</v>
      </c>
      <c r="E16" s="4">
        <f>'Part I - EaR Calculation'!B24</f>
        <v>4902.6000000000004</v>
      </c>
      <c r="F16" s="4">
        <f>E16-D16</f>
        <v>-113.55622556905291</v>
      </c>
      <c r="G16" s="5" t="s">
        <v>82</v>
      </c>
    </row>
    <row r="17" spans="1:7" ht="15" customHeight="1">
      <c r="A17" s="5" t="s">
        <v>83</v>
      </c>
      <c r="B17" s="4">
        <f>'Part I - EaR Calculation'!B19</f>
        <v>3587.4530488603996</v>
      </c>
      <c r="C17" s="10">
        <v>1.645</v>
      </c>
      <c r="D17" s="4">
        <f>B17*C17</f>
        <v>5901.3602653753578</v>
      </c>
      <c r="E17" s="4">
        <f>'Part I - EaR Calculation'!B24</f>
        <v>4902.6000000000004</v>
      </c>
      <c r="F17" s="4">
        <f>E17-D17</f>
        <v>-998.76026537535745</v>
      </c>
      <c r="G17" s="5" t="s">
        <v>84</v>
      </c>
    </row>
    <row r="18" spans="1:7" ht="15" customHeight="1">
      <c r="A18" s="5" t="s">
        <v>85</v>
      </c>
      <c r="B18" s="4">
        <f>'Part I - EaR Calculation'!B19*1.15</f>
        <v>4125.5710061894588</v>
      </c>
      <c r="C18" s="10">
        <v>1.645</v>
      </c>
      <c r="D18" s="4">
        <f>B18*C18</f>
        <v>6786.5643051816596</v>
      </c>
      <c r="E18" s="4">
        <f>'Part I - EaR Calculation'!B24</f>
        <v>4902.6000000000004</v>
      </c>
      <c r="F18" s="4">
        <f>E18-D18</f>
        <v>-1883.9643051816593</v>
      </c>
      <c r="G18" s="5" t="s">
        <v>86</v>
      </c>
    </row>
    <row r="19" spans="1:7" ht="15" customHeight="1">
      <c r="A19" s="5" t="s">
        <v>87</v>
      </c>
      <c r="B19" s="4">
        <f>'Part I - EaR Calculation'!B19*1.3</f>
        <v>4663.6889635185198</v>
      </c>
      <c r="C19" s="10">
        <v>1.645</v>
      </c>
      <c r="D19" s="4">
        <f>B19*C19</f>
        <v>7671.7683449879651</v>
      </c>
      <c r="E19" s="4">
        <f>'Part I - EaR Calculation'!B24</f>
        <v>4902.6000000000004</v>
      </c>
      <c r="F19" s="4">
        <f>E19-D19</f>
        <v>-2769.1683449879647</v>
      </c>
      <c r="G19" s="5" t="s">
        <v>88</v>
      </c>
    </row>
    <row r="22" spans="1:7" ht="15" customHeight="1">
      <c r="A22" s="6" t="s">
        <v>89</v>
      </c>
    </row>
    <row r="23" spans="1:7" ht="15" customHeight="1">
      <c r="A23" s="2" t="s">
        <v>90</v>
      </c>
      <c r="B23" s="2" t="s">
        <v>73</v>
      </c>
      <c r="C23" s="2" t="s">
        <v>9</v>
      </c>
      <c r="D23" s="2" t="s">
        <v>91</v>
      </c>
      <c r="E23" s="2" t="s">
        <v>92</v>
      </c>
      <c r="F23" s="2" t="s">
        <v>93</v>
      </c>
      <c r="G23" s="2" t="s">
        <v>94</v>
      </c>
    </row>
    <row r="24" spans="1:7" ht="15" customHeight="1">
      <c r="A24" s="11">
        <v>0.95</v>
      </c>
      <c r="B24" s="10">
        <v>1.645</v>
      </c>
      <c r="C24" s="4">
        <f>'Part I - EaR Calculation'!B19</f>
        <v>3587.4530488603996</v>
      </c>
      <c r="D24" s="4">
        <f>B24*C24</f>
        <v>5901.3602653753578</v>
      </c>
      <c r="E24" s="9">
        <f>IFERROR(D24/'Part I - EaR Calculation'!B24,0)</f>
        <v>1.203720528979594</v>
      </c>
      <c r="F24" s="12">
        <f>IFERROR(D24/'Part I - EaR Calculation'!B25,0)</f>
        <v>1.0000889884948607</v>
      </c>
      <c r="G24" s="5" t="s">
        <v>95</v>
      </c>
    </row>
    <row r="25" spans="1:7" ht="15" customHeight="1">
      <c r="A25" s="11">
        <v>0.99</v>
      </c>
      <c r="B25" s="10">
        <v>2.3260000000000001</v>
      </c>
      <c r="C25" s="4">
        <f>'Part I - EaR Calculation'!B19</f>
        <v>3587.4530488603996</v>
      </c>
      <c r="D25" s="4">
        <f>B25*C25</f>
        <v>8344.4157916492895</v>
      </c>
      <c r="E25" s="9">
        <f>IFERROR(D25/'Part I - EaR Calculation'!B24,0)</f>
        <v>1.7020388756270732</v>
      </c>
      <c r="F25" s="12">
        <f>IFERROR(D25/'Part I - EaR Calculation'!B25,0)</f>
        <v>1.4141075910267755</v>
      </c>
      <c r="G25" s="5" t="s">
        <v>96</v>
      </c>
    </row>
    <row r="26" spans="1:7" ht="15" customHeight="1">
      <c r="A26" s="11">
        <v>0.999</v>
      </c>
      <c r="B26" s="10">
        <v>3.09</v>
      </c>
      <c r="C26" s="4">
        <f>'Part I - EaR Calculation'!B19</f>
        <v>3587.4530488603996</v>
      </c>
      <c r="D26" s="4">
        <f>B26*C26</f>
        <v>11085.229920978634</v>
      </c>
      <c r="E26" s="9">
        <f>IFERROR(D26/'Part I - EaR Calculation'!B24,0)</f>
        <v>2.2610920574753464</v>
      </c>
      <c r="F26" s="12">
        <f>IFERROR(D26/'Part I - EaR Calculation'!B25,0)</f>
        <v>1.8785866106073674</v>
      </c>
      <c r="G26" s="5" t="s">
        <v>97</v>
      </c>
    </row>
    <row r="27" spans="1:7" ht="15" customHeight="1">
      <c r="A27" s="11">
        <v>0.99860000000000004</v>
      </c>
      <c r="B27" s="10">
        <v>3</v>
      </c>
      <c r="C27" s="4">
        <f>'Part I - EaR Calculation'!B19</f>
        <v>3587.4530488603996</v>
      </c>
      <c r="D27" s="4">
        <f>B27*C27</f>
        <v>10762.359146581199</v>
      </c>
      <c r="E27" s="9">
        <f>IFERROR(D27/'Part I - EaR Calculation'!B24,0)</f>
        <v>2.1952350072576179</v>
      </c>
      <c r="F27" s="12">
        <f>IFERROR(D27/'Part I - EaR Calculation'!B25,0)</f>
        <v>1.8238704957353082</v>
      </c>
      <c r="G27" s="5" t="s">
        <v>98</v>
      </c>
    </row>
    <row r="28" spans="1:7" ht="15" customHeight="1">
      <c r="A28" s="11">
        <v>0.99990000000000001</v>
      </c>
      <c r="B28" s="10">
        <v>3.7189999999999999</v>
      </c>
      <c r="C28" s="4">
        <f>'Part I - EaR Calculation'!B19</f>
        <v>3587.4530488603996</v>
      </c>
      <c r="D28" s="4">
        <f>B28*C28</f>
        <v>13341.737888711825</v>
      </c>
      <c r="E28" s="9">
        <f>IFERROR(D28/'Part I - EaR Calculation'!B24,0)</f>
        <v>2.7213596639970268</v>
      </c>
      <c r="F28" s="12">
        <f>IFERROR(D28/'Part I - EaR Calculation'!B25,0)</f>
        <v>2.2609914578798702</v>
      </c>
      <c r="G28" s="5" t="s">
        <v>99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Part II - EBITDA Data</vt:lpstr>
      <vt:lpstr>Part I - EaR Calculation</vt:lpstr>
      <vt:lpstr>Part IV - Economic Capital</vt:lpstr>
      <vt:lpstr>Part IV - Sensitivity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Mike Li</dc:creator>
  <dc:description/>
  <cp:lastModifiedBy>Lenovo</cp:lastModifiedBy>
  <cp:revision>0</cp:revision>
  <dcterms:created xsi:type="dcterms:W3CDTF">2026-04-26T07:14:55Z</dcterms:created>
  <dcterms:modified xsi:type="dcterms:W3CDTF">2026-05-19T08:01:13Z</dcterms:modified>
  <dc:language>en-US</dc:language>
</cp:coreProperties>
</file>